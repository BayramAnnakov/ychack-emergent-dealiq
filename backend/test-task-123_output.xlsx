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Business Performance" sheetId="1" state="visible" r:id="rId1"/>
    <sheet name="2. Discontinued SKUs Risk" sheetId="2" state="visible" r:id="rId2"/>
    <sheet name="3. Top Volume Drivers" sheetId="3" state="visible" r:id="rId3"/>
    <sheet name="4. Volume Changes" sheetId="4" state="visible" r:id="rId4"/>
    <sheet name="5. Category Performance" sheetId="5" state="visible" r:id="rId5"/>
    <sheet name="6.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,&quot;K&quot;"/>
    <numFmt numFmtId="166" formatCode="0.0%"/>
  </numFmts>
  <fonts count="9">
    <font>
      <name val="Calibri"/>
      <family val="2"/>
      <color theme="1"/>
      <sz val="11"/>
      <scheme val="minor"/>
    </font>
    <font>
      <b val="1"/>
      <color rgb="00203764"/>
      <sz val="14"/>
    </font>
    <font>
      <b val="1"/>
      <color rgb="00366092"/>
      <sz val="12"/>
    </font>
    <font>
      <b val="1"/>
      <color rgb="00FFFFFF"/>
      <sz val="12"/>
    </font>
    <font>
      <b val="1"/>
    </font>
    <font>
      <b val="1"/>
      <color rgb="00FF6600"/>
    </font>
    <font>
      <b val="1"/>
      <color rgb="00C00000"/>
    </font>
    <font>
      <i val="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E8F5E9"/>
        <bgColor rgb="00E8F5E9"/>
      </patternFill>
    </fill>
    <fill>
      <patternFill patternType="solid">
        <fgColor rgb="00FFC7CE"/>
        <bgColor rgb="00FFC7CE"/>
      </patternFill>
    </fill>
    <fill>
      <patternFill patternType="solid">
        <fgColor rgb="00FFEBEE"/>
        <bgColor rgb="00FFEBEE"/>
      </patternFill>
    </fill>
    <fill>
      <patternFill patternType="solid">
        <fgColor rgb="00F4CCCC"/>
        <bgColor rgb="00F4CCCC"/>
      </patternFill>
    </fill>
    <fill>
      <patternFill patternType="solid">
        <fgColor rgb="00FFE599"/>
        <bgColor rgb="00FFE599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pivotButton="0" quotePrefix="0" xfId="0"/>
    <xf numFmtId="1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0" applyAlignment="1" pivotButton="0" quotePrefix="0" xfId="0">
      <alignment horizontal="center"/>
    </xf>
    <xf numFmtId="166" fontId="4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165" fontId="0" fillId="4" borderId="1" pivotButton="0" quotePrefix="0" xfId="0"/>
    <xf numFmtId="166" fontId="0" fillId="4" borderId="1" pivotButton="0" quotePrefix="0" xfId="0"/>
    <xf numFmtId="0" fontId="0" fillId="4" borderId="0" applyAlignment="1" pivotButton="0" quotePrefix="0" xfId="0">
      <alignment horizontal="center"/>
    </xf>
    <xf numFmtId="0" fontId="2" fillId="5" borderId="0" pivotButton="0" quotePrefix="0" xfId="0"/>
    <xf numFmtId="0" fontId="0" fillId="6" borderId="0" pivotButton="0" quotePrefix="0" xfId="0"/>
    <xf numFmtId="165" fontId="0" fillId="6" borderId="1" pivotButton="0" quotePrefix="0" xfId="0"/>
    <xf numFmtId="166" fontId="0" fillId="6" borderId="1" pivotButton="0" quotePrefix="0" xfId="0"/>
    <xf numFmtId="0" fontId="0" fillId="6" borderId="0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vertical="top" wrapText="1"/>
    </xf>
    <xf numFmtId="0" fontId="4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XR RETAILER - 2023 MAKEUP SALES ANALYSIS</t>
        </is>
      </c>
    </row>
    <row r="3">
      <c r="A3" s="2" t="inlineStr">
        <is>
          <t>Overall Business Performance (Year-over-Year Comparison)</t>
        </is>
      </c>
    </row>
    <row r="5">
      <c r="A5" s="3" t="inlineStr">
        <is>
          <t>Metric</t>
        </is>
      </c>
      <c r="B5" s="3" t="inlineStr">
        <is>
          <t>FY 2023 (in $000s)</t>
        </is>
      </c>
      <c r="C5" s="3" t="inlineStr">
        <is>
          <t>FY 2022 (in $000s)</t>
        </is>
      </c>
      <c r="D5" s="3" t="inlineStr">
        <is>
          <t>YoY Change ($)</t>
        </is>
      </c>
      <c r="E5" s="3" t="inlineStr">
        <is>
          <t>YoY Change (%)</t>
        </is>
      </c>
    </row>
    <row r="6">
      <c r="A6" t="inlineStr">
        <is>
          <t>Total Sales</t>
        </is>
      </c>
      <c r="B6" s="4" t="n">
        <v>20427.75602999945</v>
      </c>
      <c r="C6" s="4" t="n">
        <v>21097.68787999928</v>
      </c>
      <c r="D6" s="4">
        <f>B6-C6</f>
        <v/>
      </c>
      <c r="E6" s="5">
        <f>(B6-C6)/C6</f>
        <v/>
      </c>
    </row>
    <row r="9">
      <c r="A9" s="2" t="inlineStr">
        <is>
          <t>Key Insights:</t>
        </is>
      </c>
    </row>
    <row r="10">
      <c r="A10" t="inlineStr">
        <is>
          <t>• Business declined by 3.18% year-over-year</t>
        </is>
      </c>
    </row>
    <row r="11">
      <c r="A11" t="inlineStr">
        <is>
          <t>• Total revenue decreased by $669.93K</t>
        </is>
      </c>
    </row>
    <row r="12">
      <c r="A12" t="inlineStr">
        <is>
          <t>• Despite overall decline, there are significant growth opportunities in specific categories</t>
        </is>
      </c>
    </row>
    <row r="13">
      <c r="A13" t="inlineStr">
        <is>
          <t>• 69.3% of the SKU portfolio is discontinued or at-risk (Status 6-9)</t>
        </is>
      </c>
    </row>
    <row r="14">
      <c r="A14" t="inlineStr">
        <is>
          <t>• Top 15 SKUs represent 36.7% of total sales - high concentration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8" customWidth="1" min="4" max="4"/>
    <col width="15" customWidth="1" min="5" max="5"/>
  </cols>
  <sheetData>
    <row r="1">
      <c r="A1" s="1" t="inlineStr">
        <is>
          <t>Discontinued SKUs Risk Analysis</t>
        </is>
      </c>
    </row>
    <row r="3">
      <c r="A3" s="2" t="inlineStr">
        <is>
          <t>Material Status Legend:</t>
        </is>
      </c>
    </row>
    <row r="4">
      <c r="A4" t="inlineStr">
        <is>
          <t>• Status 5 = Active/Available</t>
        </is>
      </c>
    </row>
    <row r="5">
      <c r="A5" t="inlineStr">
        <is>
          <t>• Status 6 = To Be Discontinued</t>
        </is>
      </c>
    </row>
    <row r="6">
      <c r="A6" t="inlineStr">
        <is>
          <t>• Status 7 = Discontinued</t>
        </is>
      </c>
    </row>
    <row r="7">
      <c r="A7" t="inlineStr">
        <is>
          <t>• Status 8 = Limited Availability</t>
        </is>
      </c>
    </row>
    <row r="8">
      <c r="A8" t="inlineStr">
        <is>
          <t>• Status 9 = Obsolete</t>
        </is>
      </c>
    </row>
    <row r="10">
      <c r="A10" s="2" t="inlineStr">
        <is>
          <t>Summary Statistics</t>
        </is>
      </c>
    </row>
    <row r="12">
      <c r="A12" s="3" t="inlineStr">
        <is>
          <t>Category</t>
        </is>
      </c>
      <c r="B12" s="3" t="inlineStr">
        <is>
          <t>SKU Count</t>
        </is>
      </c>
      <c r="C12" s="3" t="inlineStr">
        <is>
          <t>2023 Sales ($000s)</t>
        </is>
      </c>
      <c r="D12" s="3" t="inlineStr">
        <is>
          <t>2022 Sales ($000s)</t>
        </is>
      </c>
      <c r="E12" s="3" t="inlineStr">
        <is>
          <t>% of Total Sales</t>
        </is>
      </c>
    </row>
    <row r="13">
      <c r="A13" t="inlineStr">
        <is>
          <t>Active SKUs (Status 5)</t>
        </is>
      </c>
      <c r="B13" t="n">
        <v>324</v>
      </c>
      <c r="C13" s="4" t="n">
        <v>13975.9</v>
      </c>
      <c r="D13" s="4" t="n">
        <v>11384.2</v>
      </c>
      <c r="E13" s="5">
        <f>C13/C15</f>
        <v/>
      </c>
    </row>
    <row r="14">
      <c r="A14" t="inlineStr">
        <is>
          <t>Discontinued/At-Risk SKUs (Status 6-9)</t>
        </is>
      </c>
      <c r="B14" t="n">
        <v>733</v>
      </c>
      <c r="C14" s="4" t="n">
        <v>6321.799999999998</v>
      </c>
      <c r="D14" s="4" t="n">
        <v>9536.999999999998</v>
      </c>
      <c r="E14" s="5">
        <f>C14/C15</f>
        <v/>
      </c>
    </row>
    <row r="15">
      <c r="A15" s="6" t="inlineStr">
        <is>
          <t>TOTAL</t>
        </is>
      </c>
      <c r="B15" s="4">
        <f>B13+B14</f>
        <v/>
      </c>
      <c r="C15" s="4">
        <f>C13+C14</f>
        <v/>
      </c>
      <c r="D15" s="4">
        <f>D13+D14</f>
        <v/>
      </c>
      <c r="E15" s="6" t="inlineStr">
        <is>
          <t>100.00%</t>
        </is>
      </c>
    </row>
    <row r="18">
      <c r="A18" s="2" t="inlineStr">
        <is>
          <t>Detailed Breakdown by Status</t>
        </is>
      </c>
    </row>
    <row r="20">
      <c r="A20" s="3" t="inlineStr">
        <is>
          <t>Material Status</t>
        </is>
      </c>
      <c r="B20" s="3" t="inlineStr">
        <is>
          <t>SKU Count</t>
        </is>
      </c>
      <c r="C20" s="3" t="inlineStr">
        <is>
          <t>2023 Sales ($000s)</t>
        </is>
      </c>
      <c r="D20" s="3" t="inlineStr">
        <is>
          <t>% of Total Sales</t>
        </is>
      </c>
      <c r="E20" s="3" t="inlineStr">
        <is>
          <t>Risk Level</t>
        </is>
      </c>
    </row>
    <row r="21">
      <c r="A21" t="inlineStr">
        <is>
          <t>Status 5</t>
        </is>
      </c>
      <c r="B21" t="n">
        <v>324</v>
      </c>
      <c r="C21" s="4" t="n">
        <v>13975.9</v>
      </c>
      <c r="D21" s="5">
        <f>C21/C15</f>
        <v/>
      </c>
      <c r="E21" t="inlineStr">
        <is>
          <t>Low</t>
        </is>
      </c>
    </row>
    <row r="22">
      <c r="A22" t="inlineStr">
        <is>
          <t>Status 6</t>
        </is>
      </c>
      <c r="B22" t="n">
        <v>79</v>
      </c>
      <c r="C22" s="4" t="n">
        <v>2702.7</v>
      </c>
      <c r="D22" s="5">
        <f>C22/C15</f>
        <v/>
      </c>
      <c r="E22" s="7" t="inlineStr">
        <is>
          <t>MEDIUM</t>
        </is>
      </c>
    </row>
    <row r="23">
      <c r="A23" t="inlineStr">
        <is>
          <t>Status 7</t>
        </is>
      </c>
      <c r="B23" t="n">
        <v>194</v>
      </c>
      <c r="C23" s="4" t="n">
        <v>1564.8</v>
      </c>
      <c r="D23" s="5">
        <f>C23/C15</f>
        <v/>
      </c>
      <c r="E23" s="8" t="inlineStr">
        <is>
          <t>HIGH</t>
        </is>
      </c>
    </row>
    <row r="24">
      <c r="A24" t="inlineStr">
        <is>
          <t>Status 8</t>
        </is>
      </c>
      <c r="B24" t="n">
        <v>459</v>
      </c>
      <c r="C24" s="4" t="n">
        <v>2009.9</v>
      </c>
      <c r="D24" s="5">
        <f>C24/C15</f>
        <v/>
      </c>
      <c r="E24" s="7" t="inlineStr">
        <is>
          <t>MEDIUM</t>
        </is>
      </c>
    </row>
    <row r="25">
      <c r="A25" t="inlineStr">
        <is>
          <t>Status 9</t>
        </is>
      </c>
      <c r="B25" t="n">
        <v>1</v>
      </c>
      <c r="C25" s="4" t="n">
        <v>44.4</v>
      </c>
      <c r="D25" s="5">
        <f>C25/C15</f>
        <v/>
      </c>
      <c r="E25" s="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2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Top 20 Volume Drivers Analysis</t>
        </is>
      </c>
    </row>
    <row r="3">
      <c r="A3" s="9" t="inlineStr">
        <is>
          <t>These SKUs represent the largest contributors to 2023 sales revenue</t>
        </is>
      </c>
    </row>
    <row r="5">
      <c r="A5" s="3" t="inlineStr">
        <is>
          <t>Rank</t>
        </is>
      </c>
      <c r="B5" s="3" t="inlineStr">
        <is>
          <t>Brand</t>
        </is>
      </c>
      <c r="C5" s="3" t="inlineStr">
        <is>
          <t>Sub Brand</t>
        </is>
      </c>
      <c r="D5" s="3" t="inlineStr">
        <is>
          <t>Function</t>
        </is>
      </c>
      <c r="E5" s="3" t="inlineStr">
        <is>
          <t>2023 Sales ($000s)</t>
        </is>
      </c>
      <c r="F5" s="3" t="inlineStr">
        <is>
          <t>2022 Sales ($000s)</t>
        </is>
      </c>
      <c r="G5" s="3" t="inlineStr">
        <is>
          <t>YoY $ Change</t>
        </is>
      </c>
      <c r="H5" s="3" t="inlineStr">
        <is>
          <t>YoY % Change</t>
        </is>
      </c>
      <c r="I5" s="3" t="inlineStr">
        <is>
          <t>Material Status</t>
        </is>
      </c>
    </row>
    <row r="6">
      <c r="A6" t="n">
        <v>1</v>
      </c>
      <c r="B6" t="inlineStr">
        <is>
          <t>Mascara 1</t>
        </is>
      </c>
      <c r="C6" t="inlineStr">
        <is>
          <t>Mascara 1</t>
        </is>
      </c>
      <c r="D6" t="inlineStr">
        <is>
          <t>MASCARAS WASHABLE</t>
        </is>
      </c>
      <c r="E6" s="10" t="n">
        <v>1333.8</v>
      </c>
      <c r="F6" s="10" t="n">
        <v>958.3</v>
      </c>
      <c r="G6" s="10">
        <f>E6-F6</f>
        <v/>
      </c>
      <c r="H6" s="11">
        <f>(E6-F6)/F6</f>
        <v/>
      </c>
      <c r="I6" s="12" t="inlineStr">
        <is>
          <t>5</t>
        </is>
      </c>
    </row>
    <row r="7">
      <c r="A7" t="n">
        <v>2</v>
      </c>
      <c r="B7" t="inlineStr">
        <is>
          <t>M Primer</t>
        </is>
      </c>
      <c r="C7" t="inlineStr">
        <is>
          <t>M Primer</t>
        </is>
      </c>
      <c r="D7" t="inlineStr">
        <is>
          <t>MASCARAS WASHABLE</t>
        </is>
      </c>
      <c r="E7" s="10" t="n">
        <v>1304.4</v>
      </c>
      <c r="F7" s="10" t="n">
        <v>1448</v>
      </c>
      <c r="G7" s="10">
        <f>E7-F7</f>
        <v/>
      </c>
      <c r="H7" s="11">
        <f>(E7-F7)/F7</f>
        <v/>
      </c>
      <c r="I7" s="12" t="inlineStr">
        <is>
          <t>5</t>
        </is>
      </c>
    </row>
    <row r="8">
      <c r="A8" t="n">
        <v>3</v>
      </c>
      <c r="B8" t="inlineStr">
        <is>
          <t>Mascara 2</t>
        </is>
      </c>
      <c r="C8" t="inlineStr">
        <is>
          <t>Mascara 2 MASCARA</t>
        </is>
      </c>
      <c r="D8" t="inlineStr">
        <is>
          <t>MASCARAS WASHABLE</t>
        </is>
      </c>
      <c r="E8" s="10" t="n">
        <v>843.4</v>
      </c>
      <c r="F8" s="10" t="n">
        <v>889.3</v>
      </c>
      <c r="G8" s="10">
        <f>E8-F8</f>
        <v/>
      </c>
      <c r="H8" s="11">
        <f>(E8-F8)/F8</f>
        <v/>
      </c>
      <c r="I8" s="12" t="inlineStr">
        <is>
          <t>5</t>
        </is>
      </c>
    </row>
    <row r="9">
      <c r="A9" t="n">
        <v>4</v>
      </c>
      <c r="B9" t="inlineStr">
        <is>
          <t>Mascara 4</t>
        </is>
      </c>
      <c r="C9" t="inlineStr">
        <is>
          <t>Mascara 4 MASCARA</t>
        </is>
      </c>
      <c r="D9" t="inlineStr">
        <is>
          <t>MASCARAS WASHABLE</t>
        </is>
      </c>
      <c r="E9" s="10" t="n">
        <v>438.4</v>
      </c>
      <c r="F9" s="10" t="n">
        <v>433.8</v>
      </c>
      <c r="G9" s="10">
        <f>E9-F9</f>
        <v/>
      </c>
      <c r="H9" s="11">
        <f>(E9-F9)/F9</f>
        <v/>
      </c>
      <c r="I9" s="12" t="inlineStr">
        <is>
          <t>5</t>
        </is>
      </c>
    </row>
    <row r="10">
      <c r="A10" t="n">
        <v>5</v>
      </c>
      <c r="B10" t="inlineStr">
        <is>
          <t>Mascara 3</t>
        </is>
      </c>
      <c r="C10" t="inlineStr">
        <is>
          <t>Mascara 3</t>
        </is>
      </c>
      <c r="D10" t="inlineStr">
        <is>
          <t>MASCARAS WASHABLE</t>
        </is>
      </c>
      <c r="E10" s="10" t="n">
        <v>433.8</v>
      </c>
      <c r="F10" s="10" t="n">
        <v>344.3</v>
      </c>
      <c r="G10" s="10">
        <f>E10-F10</f>
        <v/>
      </c>
      <c r="H10" s="11">
        <f>(E10-F10)/F10</f>
        <v/>
      </c>
      <c r="I10" s="12" t="inlineStr">
        <is>
          <t>8</t>
        </is>
      </c>
    </row>
    <row r="11">
      <c r="A11" t="n">
        <v>6</v>
      </c>
      <c r="B11" t="inlineStr">
        <is>
          <t>Setting Spray</t>
        </is>
      </c>
      <c r="C11" t="inlineStr">
        <is>
          <t>Setting Spray</t>
        </is>
      </c>
      <c r="D11" t="inlineStr">
        <is>
          <t>MAKEUP BASES</t>
        </is>
      </c>
      <c r="E11" s="10" t="n">
        <v>384.8</v>
      </c>
      <c r="F11" s="10" t="n">
        <v>181.8</v>
      </c>
      <c r="G11" s="10">
        <f>E11-F11</f>
        <v/>
      </c>
      <c r="H11" s="11">
        <f>(E11-F11)/F11</f>
        <v/>
      </c>
      <c r="I11" s="12" t="inlineStr">
        <is>
          <t>5</t>
        </is>
      </c>
    </row>
    <row r="12">
      <c r="A12" t="n">
        <v>7</v>
      </c>
      <c r="B12" t="inlineStr">
        <is>
          <t>Mascara 1</t>
        </is>
      </c>
      <c r="C12" t="inlineStr">
        <is>
          <t>Mascara 1</t>
        </is>
      </c>
      <c r="D12" t="inlineStr">
        <is>
          <t>MASCARAS WASHABLE</t>
        </is>
      </c>
      <c r="E12" s="10" t="n">
        <v>383.4</v>
      </c>
      <c r="F12" s="10" t="n">
        <v>444.4</v>
      </c>
      <c r="G12" s="10">
        <f>E12-F12</f>
        <v/>
      </c>
      <c r="H12" s="11">
        <f>(E12-F12)/F12</f>
        <v/>
      </c>
      <c r="I12" s="12" t="inlineStr">
        <is>
          <t>8</t>
        </is>
      </c>
    </row>
    <row r="13">
      <c r="A13" t="n">
        <v>8</v>
      </c>
      <c r="B13" t="inlineStr">
        <is>
          <t>Foundation 2</t>
        </is>
      </c>
      <c r="C13" t="inlineStr">
        <is>
          <t>Foundation 2 FDT</t>
        </is>
      </c>
      <c r="D13" t="inlineStr">
        <is>
          <t>LIQUID FOUNDATIONS</t>
        </is>
      </c>
      <c r="E13" s="10" t="n">
        <v>368.8</v>
      </c>
      <c r="F13" s="10" t="n">
        <v>383.4</v>
      </c>
      <c r="G13" s="10">
        <f>E13-F13</f>
        <v/>
      </c>
      <c r="H13" s="11">
        <f>(E13-F13)/F13</f>
        <v/>
      </c>
      <c r="I13" s="12" t="inlineStr">
        <is>
          <t>7</t>
        </is>
      </c>
    </row>
    <row r="14">
      <c r="A14" t="n">
        <v>9</v>
      </c>
      <c r="B14" t="inlineStr">
        <is>
          <t>Mascara 3</t>
        </is>
      </c>
      <c r="C14" t="inlineStr">
        <is>
          <t>Mascara 3</t>
        </is>
      </c>
      <c r="D14" t="inlineStr">
        <is>
          <t>MASCARAS WASHABLE</t>
        </is>
      </c>
      <c r="E14" s="10" t="n">
        <v>343.4</v>
      </c>
      <c r="F14" s="10" t="n">
        <v>341.4</v>
      </c>
      <c r="G14" s="10">
        <f>E14-F14</f>
        <v/>
      </c>
      <c r="H14" s="11">
        <f>(E14-F14)/F14</f>
        <v/>
      </c>
      <c r="I14" s="12" t="inlineStr">
        <is>
          <t>5</t>
        </is>
      </c>
    </row>
    <row r="15">
      <c r="A15" t="n">
        <v>10</v>
      </c>
      <c r="B15" t="inlineStr">
        <is>
          <t>Mascara 1</t>
        </is>
      </c>
      <c r="C15" t="inlineStr">
        <is>
          <t>Mascara 1</t>
        </is>
      </c>
      <c r="D15" t="inlineStr">
        <is>
          <t>MASCARAS WATERPROOF</t>
        </is>
      </c>
      <c r="E15" s="10" t="n">
        <v>341.4</v>
      </c>
      <c r="F15" s="10" t="n">
        <v>151</v>
      </c>
      <c r="G15" s="10">
        <f>E15-F15</f>
        <v/>
      </c>
      <c r="H15" s="11">
        <f>(E15-F15)/F15</f>
        <v/>
      </c>
      <c r="I15" s="12" t="inlineStr">
        <is>
          <t>5</t>
        </is>
      </c>
    </row>
    <row r="16">
      <c r="A16" t="n">
        <v>11</v>
      </c>
      <c r="B16" t="inlineStr">
        <is>
          <t>Eyeliner</t>
        </is>
      </c>
      <c r="C16" t="inlineStr">
        <is>
          <t>Eyeliner</t>
        </is>
      </c>
      <c r="D16" t="inlineStr">
        <is>
          <t>OTHER EYELINERS</t>
        </is>
      </c>
      <c r="E16" s="10" t="n">
        <v>334.4</v>
      </c>
      <c r="F16" s="10" t="n">
        <v>194.4</v>
      </c>
      <c r="G16" s="10">
        <f>E16-F16</f>
        <v/>
      </c>
      <c r="H16" s="11">
        <f>(E16-F16)/F16</f>
        <v/>
      </c>
      <c r="I16" s="12" t="inlineStr">
        <is>
          <t>5</t>
        </is>
      </c>
    </row>
    <row r="17">
      <c r="A17" t="n">
        <v>12</v>
      </c>
      <c r="B17" t="inlineStr">
        <is>
          <t>Eyeliner</t>
        </is>
      </c>
      <c r="C17" t="inlineStr">
        <is>
          <t>Eyeliner</t>
        </is>
      </c>
      <c r="D17" t="inlineStr">
        <is>
          <t>OTHER EYELINERS</t>
        </is>
      </c>
      <c r="E17" s="10" t="n">
        <v>304.1</v>
      </c>
      <c r="F17" s="10" t="n">
        <v>388</v>
      </c>
      <c r="G17" s="10">
        <f>E17-F17</f>
        <v/>
      </c>
      <c r="H17" s="11">
        <f>(E17-F17)/F17</f>
        <v/>
      </c>
      <c r="I17" s="12" t="inlineStr">
        <is>
          <t>5</t>
        </is>
      </c>
    </row>
    <row r="18">
      <c r="A18" t="n">
        <v>13</v>
      </c>
      <c r="B18" t="inlineStr">
        <is>
          <t>Foundation D</t>
        </is>
      </c>
      <c r="C18" t="inlineStr">
        <is>
          <t>Foundation D</t>
        </is>
      </c>
      <c r="D18" t="inlineStr">
        <is>
          <t>COMPACT FOUNDATIONS</t>
        </is>
      </c>
      <c r="E18" s="10" t="n">
        <v>303.3</v>
      </c>
      <c r="F18" s="10" t="n">
        <v>313.4</v>
      </c>
      <c r="G18" s="10">
        <f>E18-F18</f>
        <v/>
      </c>
      <c r="H18" s="11">
        <f>(E18-F18)/F18</f>
        <v/>
      </c>
      <c r="I18" s="12" t="inlineStr">
        <is>
          <t>6</t>
        </is>
      </c>
    </row>
    <row r="19">
      <c r="A19" t="n">
        <v>14</v>
      </c>
      <c r="B19" t="inlineStr">
        <is>
          <t>Mascara 4</t>
        </is>
      </c>
      <c r="C19" t="inlineStr">
        <is>
          <t>Mascara 4 MASCARA</t>
        </is>
      </c>
      <c r="D19" t="inlineStr">
        <is>
          <t>MASCARAS WATERPROOF</t>
        </is>
      </c>
      <c r="E19" s="10" t="n">
        <v>181.1</v>
      </c>
      <c r="F19" s="10" t="n">
        <v>184</v>
      </c>
      <c r="G19" s="10">
        <f>E19-F19</f>
        <v/>
      </c>
      <c r="H19" s="11">
        <f>(E19-F19)/F19</f>
        <v/>
      </c>
      <c r="I19" s="12" t="inlineStr">
        <is>
          <t>5</t>
        </is>
      </c>
    </row>
    <row r="20">
      <c r="A20" t="n">
        <v>15</v>
      </c>
      <c r="B20" t="inlineStr">
        <is>
          <t>Concealer</t>
        </is>
      </c>
      <c r="C20" t="inlineStr">
        <is>
          <t>Concealer</t>
        </is>
      </c>
      <c r="D20" t="inlineStr">
        <is>
          <t>CONCEALERS</t>
        </is>
      </c>
      <c r="E20" s="10" t="n">
        <v>148.4</v>
      </c>
      <c r="F20" s="10" t="n">
        <v>104.1</v>
      </c>
      <c r="G20" s="10">
        <f>E20-F20</f>
        <v/>
      </c>
      <c r="H20" s="11">
        <f>(E20-F20)/F20</f>
        <v/>
      </c>
      <c r="I20" s="12" t="inlineStr">
        <is>
          <t>7</t>
        </is>
      </c>
    </row>
    <row r="21">
      <c r="A21" t="n">
        <v>16</v>
      </c>
      <c r="B21" t="inlineStr">
        <is>
          <t>Mascara 1</t>
        </is>
      </c>
      <c r="C21" t="inlineStr">
        <is>
          <t>Mascara 1</t>
        </is>
      </c>
      <c r="D21" t="inlineStr">
        <is>
          <t>MASCARAS WASHABLE</t>
        </is>
      </c>
      <c r="E21" s="10" t="n">
        <v>148.3</v>
      </c>
      <c r="F21" s="10" t="n">
        <v>84.40000000000001</v>
      </c>
      <c r="G21" s="10">
        <f>E21-F21</f>
        <v/>
      </c>
      <c r="H21" s="11">
        <f>(E21-F21)/F21</f>
        <v/>
      </c>
      <c r="I21" s="12" t="inlineStr">
        <is>
          <t>8</t>
        </is>
      </c>
    </row>
    <row r="22">
      <c r="A22" t="n">
        <v>17</v>
      </c>
      <c r="B22" t="inlineStr">
        <is>
          <t>Mascara 3</t>
        </is>
      </c>
      <c r="C22" t="inlineStr">
        <is>
          <t>Mascara 3</t>
        </is>
      </c>
      <c r="D22" t="inlineStr">
        <is>
          <t>MASCARAS WATERPROOF</t>
        </is>
      </c>
      <c r="E22" s="10" t="n">
        <v>144.1</v>
      </c>
      <c r="F22" s="10" t="n">
        <v>188</v>
      </c>
      <c r="G22" s="10">
        <f>E22-F22</f>
        <v/>
      </c>
      <c r="H22" s="11">
        <f>(E22-F22)/F22</f>
        <v/>
      </c>
      <c r="I22" s="12" t="inlineStr">
        <is>
          <t>5</t>
        </is>
      </c>
    </row>
    <row r="23">
      <c r="A23" t="n">
        <v>18</v>
      </c>
      <c r="B23" t="inlineStr">
        <is>
          <t>Foundation D</t>
        </is>
      </c>
      <c r="C23" t="inlineStr">
        <is>
          <t>Foundation D</t>
        </is>
      </c>
      <c r="D23" t="inlineStr">
        <is>
          <t>COMPACT FOUNDATIONS</t>
        </is>
      </c>
      <c r="E23" s="10" t="n">
        <v>144</v>
      </c>
      <c r="F23" s="10" t="n">
        <v>143.3</v>
      </c>
      <c r="G23" s="10">
        <f>E23-F23</f>
        <v/>
      </c>
      <c r="H23" s="11">
        <f>(E23-F23)/F23</f>
        <v/>
      </c>
      <c r="I23" s="12" t="inlineStr">
        <is>
          <t>6</t>
        </is>
      </c>
    </row>
    <row r="24">
      <c r="A24" t="n">
        <v>19</v>
      </c>
      <c r="B24" t="inlineStr">
        <is>
          <t>Mascara 3</t>
        </is>
      </c>
      <c r="C24" t="inlineStr">
        <is>
          <t>Mascara 3</t>
        </is>
      </c>
      <c r="D24" t="inlineStr">
        <is>
          <t>MASCARAS WASHABLE</t>
        </is>
      </c>
      <c r="E24" s="10" t="n">
        <v>143.8</v>
      </c>
      <c r="F24" s="10" t="n">
        <v>381.8</v>
      </c>
      <c r="G24" s="10">
        <f>E24-F24</f>
        <v/>
      </c>
      <c r="H24" s="11">
        <f>(E24-F24)/F24</f>
        <v/>
      </c>
      <c r="I24" s="12" t="inlineStr">
        <is>
          <t>6</t>
        </is>
      </c>
    </row>
    <row r="25">
      <c r="A25" t="n">
        <v>20</v>
      </c>
      <c r="B25" t="inlineStr">
        <is>
          <t>Foundation D</t>
        </is>
      </c>
      <c r="C25" t="inlineStr">
        <is>
          <t>Foundation D</t>
        </is>
      </c>
      <c r="D25" t="inlineStr">
        <is>
          <t>COMPACT FOUNDATIONS</t>
        </is>
      </c>
      <c r="E25" s="10" t="n">
        <v>141</v>
      </c>
      <c r="F25" s="10" t="n">
        <v>104</v>
      </c>
      <c r="G25" s="10">
        <f>E25-F25</f>
        <v/>
      </c>
      <c r="H25" s="11">
        <f>(E25-F25)/F25</f>
        <v/>
      </c>
      <c r="I25" s="12" t="inlineStr">
        <is>
          <t>6</t>
        </is>
      </c>
    </row>
    <row r="27">
      <c r="A27" s="6" t="inlineStr">
        <is>
          <t>TOP 20 TOTAL</t>
        </is>
      </c>
      <c r="E27" s="10">
        <f>SUM(E6:E25)</f>
        <v/>
      </c>
      <c r="F27" s="10">
        <f>SUM(F6:F25)</f>
        <v/>
      </c>
      <c r="G27" s="10">
        <f>SUM(G6:G25)</f>
        <v/>
      </c>
    </row>
    <row r="28">
      <c r="A28" s="6" t="inlineStr">
        <is>
          <t>% of Total Business</t>
        </is>
      </c>
      <c r="E28" s="13">
        <f>E27/20427.75602999945</f>
        <v/>
      </c>
    </row>
    <row r="31">
      <c r="A31" s="2" t="inlineStr">
        <is>
          <t>Key Insights:</t>
        </is>
      </c>
    </row>
    <row r="32">
      <c r="A32" t="inlineStr">
        <is>
          <t>• High concentration: Top 20 SKUs drive over 1/3 of total sales</t>
        </is>
      </c>
    </row>
    <row r="33">
      <c r="A33" t="inlineStr">
        <is>
          <t>• 11 of top 20 SKUs are growing YoY</t>
        </is>
      </c>
    </row>
    <row r="34">
      <c r="A34" t="inlineStr">
        <is>
          <t>• 9 of top 20 SKUs have discontinued/at-risk status</t>
        </is>
      </c>
    </row>
    <row r="35">
      <c r="A35" t="inlineStr">
        <is>
          <t>• Mascara category dominates top performers</t>
        </is>
      </c>
    </row>
    <row r="36">
      <c r="A36" t="inlineStr">
        <is>
          <t>• Diversification needed to reduce concentration risk</t>
        </is>
      </c>
    </row>
  </sheetData>
  <mergeCells count="2">
    <mergeCell ref="A28:D28"/>
    <mergeCell ref="A27:D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10" customWidth="1" min="8" max="8"/>
  </cols>
  <sheetData>
    <row r="1">
      <c r="A1" s="1" t="inlineStr">
        <is>
          <t>Volume Changes Analysis (YoY)</t>
        </is>
      </c>
    </row>
    <row r="3">
      <c r="A3" s="14" t="inlineStr">
        <is>
          <t>TOP 15 VOLUME INCREASES</t>
        </is>
      </c>
    </row>
    <row r="5">
      <c r="A5" s="3" t="inlineStr">
        <is>
          <t>Rank</t>
        </is>
      </c>
      <c r="B5" s="3" t="inlineStr">
        <is>
          <t>Brand</t>
        </is>
      </c>
      <c r="C5" s="3" t="inlineStr">
        <is>
          <t>Function</t>
        </is>
      </c>
      <c r="D5" s="3" t="inlineStr">
        <is>
          <t>2023 Sales</t>
        </is>
      </c>
      <c r="E5" s="3" t="inlineStr">
        <is>
          <t>2022 Sales</t>
        </is>
      </c>
      <c r="F5" s="3" t="inlineStr">
        <is>
          <t>YoY $ Growth</t>
        </is>
      </c>
      <c r="G5" s="3" t="inlineStr">
        <is>
          <t>YoY % Growth</t>
        </is>
      </c>
      <c r="H5" s="3" t="inlineStr">
        <is>
          <t>Status</t>
        </is>
      </c>
    </row>
    <row r="6">
      <c r="A6" s="15" t="n">
        <v>1</v>
      </c>
      <c r="B6" s="15" t="inlineStr">
        <is>
          <t>Mascara 1</t>
        </is>
      </c>
      <c r="C6" s="15" t="inlineStr">
        <is>
          <t>MASCARAS WASHABLE</t>
        </is>
      </c>
      <c r="D6" s="16" t="n">
        <v>1333.8</v>
      </c>
      <c r="E6" s="16" t="n">
        <v>958.3</v>
      </c>
      <c r="F6" s="16">
        <f>D6-E6</f>
        <v/>
      </c>
      <c r="G6" s="17">
        <f>(D6-E6)/E6</f>
        <v/>
      </c>
      <c r="H6" s="18" t="inlineStr">
        <is>
          <t>5</t>
        </is>
      </c>
    </row>
    <row r="7">
      <c r="A7" s="15" t="n">
        <v>2</v>
      </c>
      <c r="B7" s="15" t="inlineStr">
        <is>
          <t>Setting Spray</t>
        </is>
      </c>
      <c r="C7" s="15" t="inlineStr">
        <is>
          <t>MAKEUP BASES</t>
        </is>
      </c>
      <c r="D7" s="16" t="n">
        <v>384.8</v>
      </c>
      <c r="E7" s="16" t="n">
        <v>181.8</v>
      </c>
      <c r="F7" s="16">
        <f>D7-E7</f>
        <v/>
      </c>
      <c r="G7" s="17">
        <f>(D7-E7)/E7</f>
        <v/>
      </c>
      <c r="H7" s="18" t="inlineStr">
        <is>
          <t>5</t>
        </is>
      </c>
    </row>
    <row r="8">
      <c r="A8" s="15" t="n">
        <v>3</v>
      </c>
      <c r="B8" s="15" t="inlineStr">
        <is>
          <t>Mascara 1</t>
        </is>
      </c>
      <c r="C8" s="15" t="inlineStr">
        <is>
          <t>MASCARAS WATERPROOF</t>
        </is>
      </c>
      <c r="D8" s="16" t="n">
        <v>341.4</v>
      </c>
      <c r="E8" s="16" t="n">
        <v>151</v>
      </c>
      <c r="F8" s="16">
        <f>D8-E8</f>
        <v/>
      </c>
      <c r="G8" s="17">
        <f>(D8-E8)/E8</f>
        <v/>
      </c>
      <c r="H8" s="18" t="inlineStr">
        <is>
          <t>5</t>
        </is>
      </c>
    </row>
    <row r="9">
      <c r="A9" s="15" t="n">
        <v>4</v>
      </c>
      <c r="B9" s="15" t="inlineStr">
        <is>
          <t>Eyeliner</t>
        </is>
      </c>
      <c r="C9" s="15" t="inlineStr">
        <is>
          <t>OTHER EYELINERS</t>
        </is>
      </c>
      <c r="D9" s="16" t="n">
        <v>334.4</v>
      </c>
      <c r="E9" s="16" t="n">
        <v>194.4</v>
      </c>
      <c r="F9" s="16">
        <f>D9-E9</f>
        <v/>
      </c>
      <c r="G9" s="17">
        <f>(D9-E9)/E9</f>
        <v/>
      </c>
      <c r="H9" s="18" t="inlineStr">
        <is>
          <t>5</t>
        </is>
      </c>
    </row>
    <row r="10">
      <c r="A10" s="15" t="n">
        <v>5</v>
      </c>
      <c r="B10" s="15" t="inlineStr">
        <is>
          <t>Foundation 1</t>
        </is>
      </c>
      <c r="C10" s="15" t="inlineStr">
        <is>
          <t>LIQUID FOUNDATIONS</t>
        </is>
      </c>
      <c r="D10" s="16" t="n">
        <v>108.4</v>
      </c>
      <c r="E10" s="16" t="n">
        <v>0</v>
      </c>
      <c r="F10" s="16">
        <f>D10-E10</f>
        <v/>
      </c>
      <c r="G10" s="17">
        <f>(D10-E10)/E10</f>
        <v/>
      </c>
      <c r="H10" s="18" t="inlineStr">
        <is>
          <t>5</t>
        </is>
      </c>
    </row>
    <row r="11">
      <c r="A11" s="15" t="n">
        <v>6</v>
      </c>
      <c r="B11" s="15" t="inlineStr">
        <is>
          <t>Mascara 3</t>
        </is>
      </c>
      <c r="C11" s="15" t="inlineStr">
        <is>
          <t>MASCARAS WASHABLE</t>
        </is>
      </c>
      <c r="D11" s="16" t="n">
        <v>433.8</v>
      </c>
      <c r="E11" s="16" t="n">
        <v>344.3</v>
      </c>
      <c r="F11" s="16">
        <f>D11-E11</f>
        <v/>
      </c>
      <c r="G11" s="17">
        <f>(D11-E11)/E11</f>
        <v/>
      </c>
      <c r="H11" s="18" t="inlineStr">
        <is>
          <t>8</t>
        </is>
      </c>
    </row>
    <row r="12">
      <c r="A12" s="15" t="n">
        <v>7</v>
      </c>
      <c r="B12" s="15" t="inlineStr">
        <is>
          <t>Foundation 1</t>
        </is>
      </c>
      <c r="C12" s="15" t="inlineStr">
        <is>
          <t>LIQUID FOUNDATIONS</t>
        </is>
      </c>
      <c r="D12" s="16" t="n">
        <v>83.8</v>
      </c>
      <c r="E12" s="16" t="n">
        <v>0</v>
      </c>
      <c r="F12" s="16">
        <f>D12-E12</f>
        <v/>
      </c>
      <c r="G12" s="17">
        <f>(D12-E12)/E12</f>
        <v/>
      </c>
      <c r="H12" s="18" t="inlineStr">
        <is>
          <t>5</t>
        </is>
      </c>
    </row>
    <row r="13">
      <c r="A13" s="15" t="n">
        <v>8</v>
      </c>
      <c r="B13" s="15" t="inlineStr">
        <is>
          <t>Foundation 1</t>
        </is>
      </c>
      <c r="C13" s="15" t="inlineStr">
        <is>
          <t>LIQUID FOUNDATIONS</t>
        </is>
      </c>
      <c r="D13" s="16" t="n">
        <v>83.40000000000001</v>
      </c>
      <c r="E13" s="16" t="n">
        <v>0</v>
      </c>
      <c r="F13" s="16">
        <f>D13-E13</f>
        <v/>
      </c>
      <c r="G13" s="17">
        <f>(D13-E13)/E13</f>
        <v/>
      </c>
      <c r="H13" s="18" t="inlineStr">
        <is>
          <t>5</t>
        </is>
      </c>
    </row>
    <row r="14">
      <c r="A14" s="15" t="n">
        <v>9</v>
      </c>
      <c r="B14" s="15" t="inlineStr">
        <is>
          <t>Mascara 2</t>
        </is>
      </c>
      <c r="C14" s="15" t="inlineStr">
        <is>
          <t>LIQUID EYELINERS</t>
        </is>
      </c>
      <c r="D14" s="16" t="n">
        <v>81.40000000000001</v>
      </c>
      <c r="E14" s="16" t="n">
        <v>0</v>
      </c>
      <c r="F14" s="16">
        <f>D14-E14</f>
        <v/>
      </c>
      <c r="G14" s="17">
        <f>(D14-E14)/E14</f>
        <v/>
      </c>
      <c r="H14" s="18" t="inlineStr">
        <is>
          <t>5</t>
        </is>
      </c>
    </row>
    <row r="15">
      <c r="A15" s="15" t="n">
        <v>10</v>
      </c>
      <c r="B15" s="15" t="inlineStr">
        <is>
          <t>BLUSH #1</t>
        </is>
      </c>
      <c r="C15" s="15" t="inlineStr">
        <is>
          <t>BLUSHES</t>
        </is>
      </c>
      <c r="D15" s="16" t="n">
        <v>114.8</v>
      </c>
      <c r="E15" s="16" t="n">
        <v>41.3</v>
      </c>
      <c r="F15" s="16">
        <f>D15-E15</f>
        <v/>
      </c>
      <c r="G15" s="17">
        <f>(D15-E15)/E15</f>
        <v/>
      </c>
      <c r="H15" s="18" t="inlineStr">
        <is>
          <t>5</t>
        </is>
      </c>
    </row>
    <row r="16">
      <c r="A16" s="15" t="n">
        <v>11</v>
      </c>
      <c r="B16" s="15" t="inlineStr">
        <is>
          <t>Eyeshadow</t>
        </is>
      </c>
      <c r="C16" s="15" t="inlineStr">
        <is>
          <t>EYE SHADOWS PALETTES</t>
        </is>
      </c>
      <c r="D16" s="16" t="n">
        <v>108.8</v>
      </c>
      <c r="E16" s="16" t="n">
        <v>40.4</v>
      </c>
      <c r="F16" s="16">
        <f>D16-E16</f>
        <v/>
      </c>
      <c r="G16" s="17">
        <f>(D16-E16)/E16</f>
        <v/>
      </c>
      <c r="H16" s="18" t="inlineStr">
        <is>
          <t>8</t>
        </is>
      </c>
    </row>
    <row r="17">
      <c r="A17" s="15" t="n">
        <v>12</v>
      </c>
      <c r="B17" s="15" t="inlineStr">
        <is>
          <t>Eyeliner 3</t>
        </is>
      </c>
      <c r="C17" s="15" t="inlineStr">
        <is>
          <t>OTHER EYELINERS</t>
        </is>
      </c>
      <c r="D17" s="16" t="n">
        <v>108.8</v>
      </c>
      <c r="E17" s="16" t="n">
        <v>44.3</v>
      </c>
      <c r="F17" s="16">
        <f>D17-E17</f>
        <v/>
      </c>
      <c r="G17" s="17">
        <f>(D17-E17)/E17</f>
        <v/>
      </c>
      <c r="H17" s="18" t="inlineStr">
        <is>
          <t>5</t>
        </is>
      </c>
    </row>
    <row r="18">
      <c r="A18" s="15" t="n">
        <v>13</v>
      </c>
      <c r="B18" s="15" t="inlineStr">
        <is>
          <t>Mascara 1</t>
        </is>
      </c>
      <c r="C18" s="15" t="inlineStr">
        <is>
          <t>MASCARAS WASHABLE</t>
        </is>
      </c>
      <c r="D18" s="16" t="n">
        <v>148.3</v>
      </c>
      <c r="E18" s="16" t="n">
        <v>84.40000000000001</v>
      </c>
      <c r="F18" s="16">
        <f>D18-E18</f>
        <v/>
      </c>
      <c r="G18" s="17">
        <f>(D18-E18)/E18</f>
        <v/>
      </c>
      <c r="H18" s="18" t="inlineStr">
        <is>
          <t>8</t>
        </is>
      </c>
    </row>
    <row r="19">
      <c r="A19" s="15" t="n">
        <v>14</v>
      </c>
      <c r="B19" s="15" t="inlineStr">
        <is>
          <t>Foundation 1</t>
        </is>
      </c>
      <c r="C19" s="15" t="inlineStr">
        <is>
          <t>LIQUID FOUNDATIONS</t>
        </is>
      </c>
      <c r="D19" s="16" t="n">
        <v>44.4</v>
      </c>
      <c r="E19" s="16" t="n">
        <v>0</v>
      </c>
      <c r="F19" s="16">
        <f>D19-E19</f>
        <v/>
      </c>
      <c r="G19" s="17">
        <f>(D19-E19)/E19</f>
        <v/>
      </c>
      <c r="H19" s="18" t="inlineStr">
        <is>
          <t>5</t>
        </is>
      </c>
    </row>
    <row r="20">
      <c r="A20" s="15" t="n">
        <v>15</v>
      </c>
      <c r="B20" s="15" t="inlineStr">
        <is>
          <t>Concealer</t>
        </is>
      </c>
      <c r="C20" s="15" t="inlineStr">
        <is>
          <t>CONCEALERS</t>
        </is>
      </c>
      <c r="D20" s="16" t="n">
        <v>148.4</v>
      </c>
      <c r="E20" s="16" t="n">
        <v>104.1</v>
      </c>
      <c r="F20" s="16">
        <f>D20-E20</f>
        <v/>
      </c>
      <c r="G20" s="17">
        <f>(D20-E20)/E20</f>
        <v/>
      </c>
      <c r="H20" s="18" t="inlineStr">
        <is>
          <t>7</t>
        </is>
      </c>
    </row>
    <row r="22">
      <c r="A22" s="6" t="inlineStr">
        <is>
          <t>TOTAL TOP 15 GROWTH</t>
        </is>
      </c>
      <c r="F22" s="10">
        <f>SUM(F6:F20)</f>
        <v/>
      </c>
    </row>
    <row r="25">
      <c r="A25" s="19" t="inlineStr">
        <is>
          <t>TOP 15 VOLUME DECREASES</t>
        </is>
      </c>
    </row>
    <row r="27">
      <c r="A27" s="3" t="inlineStr">
        <is>
          <t>Rank</t>
        </is>
      </c>
      <c r="B27" s="3" t="inlineStr">
        <is>
          <t>Brand</t>
        </is>
      </c>
      <c r="C27" s="3" t="inlineStr">
        <is>
          <t>Function</t>
        </is>
      </c>
      <c r="D27" s="3" t="inlineStr">
        <is>
          <t>2023 Sales</t>
        </is>
      </c>
      <c r="E27" s="3" t="inlineStr">
        <is>
          <t>2022 Sales</t>
        </is>
      </c>
      <c r="F27" s="3" t="inlineStr">
        <is>
          <t>YoY $ Growth</t>
        </is>
      </c>
      <c r="G27" s="3" t="inlineStr">
        <is>
          <t>YoY % Growth</t>
        </is>
      </c>
      <c r="H27" s="3" t="inlineStr">
        <is>
          <t>Status</t>
        </is>
      </c>
    </row>
    <row r="28">
      <c r="A28" s="20" t="n">
        <v>1</v>
      </c>
      <c r="B28" s="20" t="inlineStr">
        <is>
          <t>Mascara 3</t>
        </is>
      </c>
      <c r="C28" s="20" t="inlineStr">
        <is>
          <t>MASCARAS WASHABLE</t>
        </is>
      </c>
      <c r="D28" s="21" t="n">
        <v>143.8</v>
      </c>
      <c r="E28" s="21" t="n">
        <v>381.8</v>
      </c>
      <c r="F28" s="21">
        <f>D28-E28</f>
        <v/>
      </c>
      <c r="G28" s="22">
        <f>(D28-E28)/E28</f>
        <v/>
      </c>
      <c r="H28" s="23" t="inlineStr">
        <is>
          <t>6</t>
        </is>
      </c>
    </row>
    <row r="29">
      <c r="A29" s="20" t="n">
        <v>2</v>
      </c>
      <c r="B29" s="20" t="inlineStr">
        <is>
          <t>Setting Spray</t>
        </is>
      </c>
      <c r="C29" s="20" t="inlineStr">
        <is>
          <t>MAKEUP BASES</t>
        </is>
      </c>
      <c r="D29" s="21" t="n">
        <v>104.4</v>
      </c>
      <c r="E29" s="21" t="n">
        <v>303.8</v>
      </c>
      <c r="F29" s="21">
        <f>D29-E29</f>
        <v/>
      </c>
      <c r="G29" s="22">
        <f>(D29-E29)/E29</f>
        <v/>
      </c>
      <c r="H29" s="23" t="inlineStr">
        <is>
          <t>8</t>
        </is>
      </c>
    </row>
    <row r="30">
      <c r="A30" s="20" t="n">
        <v>3</v>
      </c>
      <c r="B30" s="20" t="inlineStr">
        <is>
          <t>M Primer</t>
        </is>
      </c>
      <c r="C30" s="20" t="inlineStr">
        <is>
          <t>MASCARAS WASHABLE</t>
        </is>
      </c>
      <c r="D30" s="21" t="n">
        <v>1304.4</v>
      </c>
      <c r="E30" s="21" t="n">
        <v>1448</v>
      </c>
      <c r="F30" s="21">
        <f>D30-E30</f>
        <v/>
      </c>
      <c r="G30" s="22">
        <f>(D30-E30)/E30</f>
        <v/>
      </c>
      <c r="H30" s="23" t="inlineStr">
        <is>
          <t>5</t>
        </is>
      </c>
    </row>
    <row r="31">
      <c r="A31" s="20" t="n">
        <v>4</v>
      </c>
      <c r="B31" s="20" t="inlineStr">
        <is>
          <t>Foundation 1</t>
        </is>
      </c>
      <c r="C31" s="20" t="inlineStr">
        <is>
          <t>LIQUID FOUNDATIONS</t>
        </is>
      </c>
      <c r="D31" s="21" t="n">
        <v>14.8</v>
      </c>
      <c r="E31" s="21" t="n">
        <v>148.3</v>
      </c>
      <c r="F31" s="21">
        <f>D31-E31</f>
        <v/>
      </c>
      <c r="G31" s="22">
        <f>(D31-E31)/E31</f>
        <v/>
      </c>
      <c r="H31" s="23" t="inlineStr">
        <is>
          <t>7</t>
        </is>
      </c>
    </row>
    <row r="32">
      <c r="A32" s="20" t="n">
        <v>5</v>
      </c>
      <c r="B32" s="20" t="inlineStr">
        <is>
          <t>Foundation 1</t>
        </is>
      </c>
      <c r="C32" s="20" t="inlineStr">
        <is>
          <t>LIQUID FOUNDATIONS</t>
        </is>
      </c>
      <c r="D32" s="21" t="n">
        <v>14.4</v>
      </c>
      <c r="E32" s="21" t="n">
        <v>138.4</v>
      </c>
      <c r="F32" s="21">
        <f>D32-E32</f>
        <v/>
      </c>
      <c r="G32" s="22">
        <f>(D32-E32)/E32</f>
        <v/>
      </c>
      <c r="H32" s="23" t="inlineStr">
        <is>
          <t>7</t>
        </is>
      </c>
    </row>
    <row r="33">
      <c r="A33" s="20" t="n">
        <v>6</v>
      </c>
      <c r="B33" s="20" t="inlineStr">
        <is>
          <t>Foundation 1</t>
        </is>
      </c>
      <c r="C33" s="20" t="inlineStr">
        <is>
          <t>LIQUID FOUNDATIONS</t>
        </is>
      </c>
      <c r="D33" s="21" t="n">
        <v>13.4</v>
      </c>
      <c r="E33" s="21" t="n">
        <v>131.4</v>
      </c>
      <c r="F33" s="21">
        <f>D33-E33</f>
        <v/>
      </c>
      <c r="G33" s="22">
        <f>(D33-E33)/E33</f>
        <v/>
      </c>
      <c r="H33" s="23" t="inlineStr">
        <is>
          <t>7</t>
        </is>
      </c>
    </row>
    <row r="34">
      <c r="A34" s="20" t="n">
        <v>7</v>
      </c>
      <c r="B34" s="20" t="inlineStr">
        <is>
          <t>Mascara 1</t>
        </is>
      </c>
      <c r="C34" s="20" t="inlineStr">
        <is>
          <t>MASCARAS WASHABLE</t>
        </is>
      </c>
      <c r="D34" s="21" t="n">
        <v>43.8</v>
      </c>
      <c r="E34" s="21" t="n">
        <v>148.8</v>
      </c>
      <c r="F34" s="21">
        <f>D34-E34</f>
        <v/>
      </c>
      <c r="G34" s="22">
        <f>(D34-E34)/E34</f>
        <v/>
      </c>
      <c r="H34" s="23" t="inlineStr">
        <is>
          <t>8</t>
        </is>
      </c>
    </row>
    <row r="35">
      <c r="A35" s="20" t="n">
        <v>8</v>
      </c>
      <c r="B35" s="20" t="inlineStr">
        <is>
          <t>Mascara 1</t>
        </is>
      </c>
      <c r="C35" s="20" t="inlineStr">
        <is>
          <t>MASCARAS WATERPROOF</t>
        </is>
      </c>
      <c r="D35" s="21" t="n">
        <v>44.4</v>
      </c>
      <c r="E35" s="21" t="n">
        <v>148.8</v>
      </c>
      <c r="F35" s="21">
        <f>D35-E35</f>
        <v/>
      </c>
      <c r="G35" s="22">
        <f>(D35-E35)/E35</f>
        <v/>
      </c>
      <c r="H35" s="23" t="inlineStr">
        <is>
          <t>8</t>
        </is>
      </c>
    </row>
    <row r="36">
      <c r="A36" s="20" t="n">
        <v>9</v>
      </c>
      <c r="B36" s="20" t="inlineStr">
        <is>
          <t>Eyebrow</t>
        </is>
      </c>
      <c r="C36" s="20" t="inlineStr">
        <is>
          <t>OTHER EYEBROWS</t>
        </is>
      </c>
      <c r="D36" s="21" t="n">
        <v>10.8</v>
      </c>
      <c r="E36" s="21" t="n">
        <v>114.3</v>
      </c>
      <c r="F36" s="21">
        <f>D36-E36</f>
        <v/>
      </c>
      <c r="G36" s="22">
        <f>(D36-E36)/E36</f>
        <v/>
      </c>
      <c r="H36" s="23" t="inlineStr">
        <is>
          <t>5</t>
        </is>
      </c>
    </row>
    <row r="37">
      <c r="A37" s="20" t="n">
        <v>10</v>
      </c>
      <c r="B37" s="20" t="inlineStr">
        <is>
          <t>Mascara 3</t>
        </is>
      </c>
      <c r="C37" s="20" t="inlineStr">
        <is>
          <t>MASCARAS WASHABLE</t>
        </is>
      </c>
      <c r="D37" s="21" t="n">
        <v>40.4</v>
      </c>
      <c r="E37" s="21" t="n">
        <v>141</v>
      </c>
      <c r="F37" s="21">
        <f>D37-E37</f>
        <v/>
      </c>
      <c r="G37" s="22">
        <f>(D37-E37)/E37</f>
        <v/>
      </c>
      <c r="H37" s="23" t="inlineStr">
        <is>
          <t>5</t>
        </is>
      </c>
    </row>
    <row r="38">
      <c r="A38" s="20" t="n">
        <v>11</v>
      </c>
      <c r="B38" s="20" t="inlineStr">
        <is>
          <t>Mascara 1</t>
        </is>
      </c>
      <c r="C38" s="20" t="inlineStr">
        <is>
          <t>MASCARAS WASHABLE</t>
        </is>
      </c>
      <c r="D38" s="21" t="n">
        <v>48.8</v>
      </c>
      <c r="E38" s="21" t="n">
        <v>134.4</v>
      </c>
      <c r="F38" s="21">
        <f>D38-E38</f>
        <v/>
      </c>
      <c r="G38" s="22">
        <f>(D38-E38)/E38</f>
        <v/>
      </c>
      <c r="H38" s="23" t="inlineStr">
        <is>
          <t>8</t>
        </is>
      </c>
    </row>
    <row r="39">
      <c r="A39" s="20" t="n">
        <v>12</v>
      </c>
      <c r="B39" s="20" t="inlineStr">
        <is>
          <t>Eyeliner</t>
        </is>
      </c>
      <c r="C39" s="20" t="inlineStr">
        <is>
          <t>OTHER EYELINERS</t>
        </is>
      </c>
      <c r="D39" s="21" t="n">
        <v>304.1</v>
      </c>
      <c r="E39" s="21" t="n">
        <v>388</v>
      </c>
      <c r="F39" s="21">
        <f>D39-E39</f>
        <v/>
      </c>
      <c r="G39" s="22">
        <f>(D39-E39)/E39</f>
        <v/>
      </c>
      <c r="H39" s="23" t="inlineStr">
        <is>
          <t>5</t>
        </is>
      </c>
    </row>
    <row r="40">
      <c r="A40" s="20" t="n">
        <v>13</v>
      </c>
      <c r="B40" s="20" t="inlineStr">
        <is>
          <t>BLUSH #1</t>
        </is>
      </c>
      <c r="C40" s="20" t="inlineStr">
        <is>
          <t>BLUSHES</t>
        </is>
      </c>
      <c r="D40" s="21" t="n">
        <v>40.1</v>
      </c>
      <c r="E40" s="21" t="n">
        <v>114.4</v>
      </c>
      <c r="F40" s="21">
        <f>D40-E40</f>
        <v/>
      </c>
      <c r="G40" s="22">
        <f>(D40-E40)/E40</f>
        <v/>
      </c>
      <c r="H40" s="23" t="inlineStr">
        <is>
          <t>5</t>
        </is>
      </c>
    </row>
    <row r="41">
      <c r="A41" s="20" t="n">
        <v>14</v>
      </c>
      <c r="B41" s="20" t="inlineStr">
        <is>
          <t>Foundation 1</t>
        </is>
      </c>
      <c r="C41" s="20" t="inlineStr">
        <is>
          <t>LIQUID FOUNDATIONS</t>
        </is>
      </c>
      <c r="D41" s="21" t="n">
        <v>14.3</v>
      </c>
      <c r="E41" s="21" t="n">
        <v>88.3</v>
      </c>
      <c r="F41" s="21">
        <f>D41-E41</f>
        <v/>
      </c>
      <c r="G41" s="22">
        <f>(D41-E41)/E41</f>
        <v/>
      </c>
      <c r="H41" s="23" t="inlineStr">
        <is>
          <t>7</t>
        </is>
      </c>
    </row>
    <row r="42">
      <c r="A42" s="20" t="n">
        <v>15</v>
      </c>
      <c r="B42" s="20" t="inlineStr">
        <is>
          <t>Eyeliner</t>
        </is>
      </c>
      <c r="C42" s="20" t="inlineStr">
        <is>
          <t>OTHER EYELINERS</t>
        </is>
      </c>
      <c r="D42" s="21" t="n">
        <v>113.4</v>
      </c>
      <c r="E42" s="21" t="n">
        <v>184.4</v>
      </c>
      <c r="F42" s="21">
        <f>D42-E42</f>
        <v/>
      </c>
      <c r="G42" s="22">
        <f>(D42-E42)/E42</f>
        <v/>
      </c>
      <c r="H42" s="23" t="inlineStr">
        <is>
          <t>8</t>
        </is>
      </c>
    </row>
    <row r="44">
      <c r="A44" s="8" t="inlineStr">
        <is>
          <t>TOTAL TOP 15 DECLINE</t>
        </is>
      </c>
      <c r="F44" s="10">
        <f>SUM(F28:F42)</f>
        <v/>
      </c>
    </row>
    <row r="47">
      <c r="A47" s="2" t="inlineStr">
        <is>
          <t>Key Insights:</t>
        </is>
      </c>
    </row>
    <row r="48">
      <c r="A48" t="inlineStr">
        <is>
          <t>• Significant opportunity: Top growers adding $1,000K+ in new revenue</t>
        </is>
      </c>
    </row>
    <row r="49">
      <c r="A49" t="inlineStr">
        <is>
          <t>• Top decliners losing $1,000K+ - requires immediate action</t>
        </is>
      </c>
    </row>
    <row r="50">
      <c r="A50" t="inlineStr">
        <is>
          <t>• New product launches (Setting Spray, Eyeliners) showing strong growth</t>
        </is>
      </c>
    </row>
    <row r="51">
      <c r="A51" t="inlineStr">
        <is>
          <t>• Several discontinued SKUs (status 6-9) experiencing sharp declines</t>
        </is>
      </c>
    </row>
    <row r="52">
      <c r="A52" t="inlineStr">
        <is>
          <t>• Net effect: Declines outpacing growth contributing to -3.2% YoY performance</t>
        </is>
      </c>
    </row>
  </sheetData>
  <mergeCells count="2">
    <mergeCell ref="A44:C44"/>
    <mergeCell ref="A22:C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8" customWidth="1" min="4" max="4"/>
    <col width="18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Category/Function Performance Analysis</t>
        </is>
      </c>
    </row>
    <row r="3">
      <c r="A3" s="9" t="inlineStr">
        <is>
          <t>Performance breakdown by makeup function/category</t>
        </is>
      </c>
    </row>
    <row r="5">
      <c r="A5" s="3" t="inlineStr">
        <is>
          <t>Rank</t>
        </is>
      </c>
      <c r="B5" s="3" t="inlineStr">
        <is>
          <t>Category/Function</t>
        </is>
      </c>
      <c r="C5" s="3" t="inlineStr">
        <is>
          <t>SKU Count</t>
        </is>
      </c>
      <c r="D5" s="3" t="inlineStr">
        <is>
          <t>2023 Sales ($000s)</t>
        </is>
      </c>
      <c r="E5" s="3" t="inlineStr">
        <is>
          <t>2022 Sales ($000s)</t>
        </is>
      </c>
      <c r="F5" s="3" t="inlineStr">
        <is>
          <t>YoY $ Change</t>
        </is>
      </c>
      <c r="G5" s="3" t="inlineStr">
        <is>
          <t>YoY % Change</t>
        </is>
      </c>
      <c r="H5" s="3" t="inlineStr">
        <is>
          <t>% of Total</t>
        </is>
      </c>
    </row>
    <row r="6">
      <c r="A6" t="n">
        <v>1</v>
      </c>
      <c r="B6" t="inlineStr">
        <is>
          <t>MASCARAS WASHABLE</t>
        </is>
      </c>
      <c r="C6" t="n">
        <v>47</v>
      </c>
      <c r="D6" s="10" t="n">
        <v>6021.9</v>
      </c>
      <c r="E6" s="10" t="n">
        <v>6438.2</v>
      </c>
      <c r="F6" s="10">
        <f>D6-E6</f>
        <v/>
      </c>
      <c r="G6" s="11">
        <f>(D6-E6)/E6</f>
        <v/>
      </c>
      <c r="H6" s="11">
        <f>D6/20427.75602999945</f>
        <v/>
      </c>
    </row>
    <row r="7">
      <c r="A7" t="n">
        <v>2</v>
      </c>
      <c r="B7" t="inlineStr">
        <is>
          <t>LIQUID FOUNDATIONS</t>
        </is>
      </c>
      <c r="C7" t="n">
        <v>208</v>
      </c>
      <c r="D7" s="10" t="n">
        <v>3477.4</v>
      </c>
      <c r="E7" s="10" t="n">
        <v>3729.7</v>
      </c>
      <c r="F7" s="10">
        <f>D7-E7</f>
        <v/>
      </c>
      <c r="G7" s="11">
        <f>(D7-E7)/E7</f>
        <v/>
      </c>
      <c r="H7" s="11">
        <f>D7/20427.75602999945</f>
        <v/>
      </c>
    </row>
    <row r="8">
      <c r="A8" t="n">
        <v>3</v>
      </c>
      <c r="B8" t="inlineStr">
        <is>
          <t>OTHER EYELINERS</t>
        </is>
      </c>
      <c r="C8" t="n">
        <v>64</v>
      </c>
      <c r="D8" s="10" t="n">
        <v>1760.1</v>
      </c>
      <c r="E8" s="10" t="n">
        <v>1689</v>
      </c>
      <c r="F8" s="10">
        <f>D8-E8</f>
        <v/>
      </c>
      <c r="G8" s="11">
        <f>(D8-E8)/E8</f>
        <v/>
      </c>
      <c r="H8" s="11">
        <f>D8/20427.75602999945</f>
        <v/>
      </c>
    </row>
    <row r="9">
      <c r="A9" t="n">
        <v>4</v>
      </c>
      <c r="B9" t="inlineStr">
        <is>
          <t>COMPACT FOUNDATIONS</t>
        </is>
      </c>
      <c r="C9" t="n">
        <v>36</v>
      </c>
      <c r="D9" s="10" t="n">
        <v>1428.7</v>
      </c>
      <c r="E9" s="10" t="n">
        <v>1421.1</v>
      </c>
      <c r="F9" s="10">
        <f>D9-E9</f>
        <v/>
      </c>
      <c r="G9" s="11">
        <f>(D9-E9)/E9</f>
        <v/>
      </c>
      <c r="H9" s="11">
        <f>D9/20427.75602999945</f>
        <v/>
      </c>
    </row>
    <row r="10">
      <c r="A10" t="n">
        <v>5</v>
      </c>
      <c r="B10" t="inlineStr">
        <is>
          <t>STICK LIPSTICKS</t>
        </is>
      </c>
      <c r="C10" t="n">
        <v>172</v>
      </c>
      <c r="D10" s="10" t="n">
        <v>1161</v>
      </c>
      <c r="E10" s="10" t="n">
        <v>914.8</v>
      </c>
      <c r="F10" s="10">
        <f>D10-E10</f>
        <v/>
      </c>
      <c r="G10" s="11">
        <f>(D10-E10)/E10</f>
        <v/>
      </c>
      <c r="H10" s="11">
        <f>D10/20427.75602999945</f>
        <v/>
      </c>
    </row>
    <row r="11">
      <c r="A11" t="n">
        <v>6</v>
      </c>
      <c r="B11" t="inlineStr">
        <is>
          <t>CONCEALERS</t>
        </is>
      </c>
      <c r="C11" t="n">
        <v>101</v>
      </c>
      <c r="D11" s="10" t="n">
        <v>960.7</v>
      </c>
      <c r="E11" s="10" t="n">
        <v>782.3</v>
      </c>
      <c r="F11" s="10">
        <f>D11-E11</f>
        <v/>
      </c>
      <c r="G11" s="11">
        <f>(D11-E11)/E11</f>
        <v/>
      </c>
      <c r="H11" s="11">
        <f>D11/20427.75602999945</f>
        <v/>
      </c>
    </row>
    <row r="12">
      <c r="A12" t="n">
        <v>7</v>
      </c>
      <c r="B12" t="inlineStr">
        <is>
          <t>MASCARAS WATERPROOF</t>
        </is>
      </c>
      <c r="C12" t="n">
        <v>12</v>
      </c>
      <c r="D12" s="10" t="n">
        <v>894.6999999999999</v>
      </c>
      <c r="E12" s="10" t="n">
        <v>873.4</v>
      </c>
      <c r="F12" s="10">
        <f>D12-E12</f>
        <v/>
      </c>
      <c r="G12" s="11">
        <f>(D12-E12)/E12</f>
        <v/>
      </c>
      <c r="H12" s="11">
        <f>D12/20427.75602999945</f>
        <v/>
      </c>
    </row>
    <row r="13">
      <c r="A13" t="n">
        <v>8</v>
      </c>
      <c r="B13" t="inlineStr">
        <is>
          <t>BLUSHES</t>
        </is>
      </c>
      <c r="C13" t="n">
        <v>28</v>
      </c>
      <c r="D13" s="10" t="n">
        <v>564.7</v>
      </c>
      <c r="E13" s="10" t="n">
        <v>613</v>
      </c>
      <c r="F13" s="10">
        <f>D13-E13</f>
        <v/>
      </c>
      <c r="G13" s="11">
        <f>(D13-E13)/E13</f>
        <v/>
      </c>
      <c r="H13" s="11">
        <f>D13/20427.75602999945</f>
        <v/>
      </c>
    </row>
    <row r="14">
      <c r="A14" t="n">
        <v>9</v>
      </c>
      <c r="B14" t="inlineStr">
        <is>
          <t>MAKEUP BASES</t>
        </is>
      </c>
      <c r="C14" t="n">
        <v>7</v>
      </c>
      <c r="D14" s="10" t="n">
        <v>556</v>
      </c>
      <c r="E14" s="10" t="n">
        <v>564.6</v>
      </c>
      <c r="F14" s="10">
        <f>D14-E14</f>
        <v/>
      </c>
      <c r="G14" s="11">
        <f>(D14-E14)/E14</f>
        <v/>
      </c>
      <c r="H14" s="11">
        <f>D14/20427.75602999945</f>
        <v/>
      </c>
    </row>
    <row r="15">
      <c r="A15" t="n">
        <v>10</v>
      </c>
      <c r="B15" t="inlineStr">
        <is>
          <t>EYE SHADOWS PALETTES</t>
        </is>
      </c>
      <c r="C15" t="n">
        <v>29</v>
      </c>
      <c r="D15" s="10" t="n">
        <v>509.3</v>
      </c>
      <c r="E15" s="10" t="n">
        <v>490.4</v>
      </c>
      <c r="F15" s="10">
        <f>D15-E15</f>
        <v/>
      </c>
      <c r="G15" s="11">
        <f>(D15-E15)/E15</f>
        <v/>
      </c>
      <c r="H15" s="11">
        <f>D15/20427.75602999945</f>
        <v/>
      </c>
    </row>
    <row r="16">
      <c r="A16" t="n">
        <v>11</v>
      </c>
      <c r="B16" t="inlineStr">
        <is>
          <t>STICK FOUNDATIONS</t>
        </is>
      </c>
      <c r="C16" t="n">
        <v>29</v>
      </c>
      <c r="D16" s="10" t="n">
        <v>485.3</v>
      </c>
      <c r="E16" s="10" t="n">
        <v>413.4</v>
      </c>
      <c r="F16" s="10">
        <f>D16-E16</f>
        <v/>
      </c>
      <c r="G16" s="11">
        <f>(D16-E16)/E16</f>
        <v/>
      </c>
      <c r="H16" s="11">
        <f>D16/20427.75602999945</f>
        <v/>
      </c>
    </row>
    <row r="17">
      <c r="A17" t="n">
        <v>12</v>
      </c>
      <c r="B17" t="inlineStr">
        <is>
          <t>LIP GLOSS</t>
        </is>
      </c>
      <c r="C17" t="n">
        <v>53</v>
      </c>
      <c r="D17" s="10" t="n">
        <v>397.7</v>
      </c>
      <c r="E17" s="10" t="n">
        <v>279.8</v>
      </c>
      <c r="F17" s="10">
        <f>D17-E17</f>
        <v/>
      </c>
      <c r="G17" s="11">
        <f>(D17-E17)/E17</f>
        <v/>
      </c>
      <c r="H17" s="11">
        <f>D17/20427.75602999945</f>
        <v/>
      </c>
    </row>
    <row r="18">
      <c r="A18" t="n">
        <v>13</v>
      </c>
      <c r="B18" t="inlineStr">
        <is>
          <t>EYE SHADOWS NO KIT</t>
        </is>
      </c>
      <c r="C18" t="n">
        <v>54</v>
      </c>
      <c r="D18" s="10" t="n">
        <v>389.8</v>
      </c>
      <c r="E18" s="10" t="n">
        <v>405</v>
      </c>
      <c r="F18" s="10">
        <f>D18-E18</f>
        <v/>
      </c>
      <c r="G18" s="11">
        <f>(D18-E18)/E18</f>
        <v/>
      </c>
      <c r="H18" s="11">
        <f>D18/20427.75602999945</f>
        <v/>
      </c>
    </row>
    <row r="19">
      <c r="A19" t="n">
        <v>14</v>
      </c>
      <c r="B19" t="inlineStr">
        <is>
          <t>OTHER EYEBROWS</t>
        </is>
      </c>
      <c r="C19" t="n">
        <v>30</v>
      </c>
      <c r="D19" s="10" t="n">
        <v>366</v>
      </c>
      <c r="E19" s="10" t="n">
        <v>611.5999999999999</v>
      </c>
      <c r="F19" s="10">
        <f>D19-E19</f>
        <v/>
      </c>
      <c r="G19" s="11">
        <f>(D19-E19)/E19</f>
        <v/>
      </c>
      <c r="H19" s="11">
        <f>D19/20427.75602999945</f>
        <v/>
      </c>
    </row>
    <row r="20">
      <c r="A20" t="n">
        <v>15</v>
      </c>
      <c r="B20" t="inlineStr">
        <is>
          <t>LIQUID EYELINERS</t>
        </is>
      </c>
      <c r="C20" t="n">
        <v>10</v>
      </c>
      <c r="D20" s="10" t="n">
        <v>314.7</v>
      </c>
      <c r="E20" s="10" t="n">
        <v>148</v>
      </c>
      <c r="F20" s="10">
        <f>D20-E20</f>
        <v/>
      </c>
      <c r="G20" s="11">
        <f>(D20-E20)/E20</f>
        <v/>
      </c>
      <c r="H20" s="11">
        <f>D20/20427.75602999945</f>
        <v/>
      </c>
    </row>
    <row r="22">
      <c r="A22" s="6" t="inlineStr">
        <is>
          <t>TOP 15 CATEGORIES TOTAL</t>
        </is>
      </c>
      <c r="D22" s="10">
        <f>SUM(D6:D20)</f>
        <v/>
      </c>
      <c r="E22" s="10">
        <f>SUM(E6:E20)</f>
        <v/>
      </c>
      <c r="F22" s="10">
        <f>SUM(F6:F20)</f>
        <v/>
      </c>
      <c r="H22" s="11">
        <f>D22/20427.75602999945</f>
        <v/>
      </c>
    </row>
    <row r="25">
      <c r="A25" s="2" t="inlineStr">
        <is>
          <t>TOP 5 GROWING CATEGORIES</t>
        </is>
      </c>
    </row>
    <row r="27">
      <c r="A27" s="3" t="inlineStr">
        <is>
          <t>Rank</t>
        </is>
      </c>
      <c r="B27" s="3" t="inlineStr">
        <is>
          <t>Category</t>
        </is>
      </c>
      <c r="C27" s="3" t="inlineStr">
        <is>
          <t>% Growth</t>
        </is>
      </c>
      <c r="D27" s="3" t="inlineStr">
        <is>
          <t>$ Growth</t>
        </is>
      </c>
    </row>
    <row r="28">
      <c r="A28" t="n">
        <v>1</v>
      </c>
      <c r="B28" t="inlineStr">
        <is>
          <t>LIQUID EYELINERS</t>
        </is>
      </c>
      <c r="C28" s="11" t="n">
        <v>1.126351351351351</v>
      </c>
      <c r="D28" s="10" t="n">
        <v>166.7</v>
      </c>
    </row>
    <row r="29">
      <c r="A29" t="n">
        <v>2</v>
      </c>
      <c r="B29" t="inlineStr">
        <is>
          <t>LIP GLOSS</t>
        </is>
      </c>
      <c r="C29" s="11" t="n">
        <v>0.4213724088634738</v>
      </c>
      <c r="D29" s="10" t="n">
        <v>117.9</v>
      </c>
    </row>
    <row r="30">
      <c r="A30" t="n">
        <v>3</v>
      </c>
      <c r="B30" t="inlineStr">
        <is>
          <t>STICK LIPSTICKS</t>
        </is>
      </c>
      <c r="C30" s="11" t="n">
        <v>0.2691298644512463</v>
      </c>
      <c r="D30" s="10" t="n">
        <v>246.2</v>
      </c>
    </row>
    <row r="31">
      <c r="A31" t="n">
        <v>4</v>
      </c>
      <c r="B31" t="inlineStr">
        <is>
          <t>CONCEALERS</t>
        </is>
      </c>
      <c r="C31" s="11" t="n">
        <v>0.2280455068388088</v>
      </c>
      <c r="D31" s="10" t="n">
        <v>178.4000000000001</v>
      </c>
    </row>
    <row r="32">
      <c r="A32" t="n">
        <v>5</v>
      </c>
      <c r="B32" t="inlineStr">
        <is>
          <t>STICK FOUNDATIONS</t>
        </is>
      </c>
      <c r="C32" s="11" t="n">
        <v>0.1739235607160136</v>
      </c>
      <c r="D32" s="10" t="n">
        <v>71.90000000000003</v>
      </c>
    </row>
    <row r="35">
      <c r="A35" s="2" t="inlineStr">
        <is>
          <t>Key Insights:</t>
        </is>
      </c>
    </row>
    <row r="36">
      <c r="A36" t="inlineStr">
        <is>
          <t>• Mascaras (Washable) remain the #1 category: $6,022K in sales</t>
        </is>
      </c>
    </row>
    <row r="37">
      <c r="A37" t="inlineStr">
        <is>
          <t>• Top 15 categories represent 94.4% of total business</t>
        </is>
      </c>
    </row>
    <row r="38">
      <c r="A38" t="inlineStr">
        <is>
          <t>• Stick Lipsticks showing strong 26.9% growth - expansion opportunity</t>
        </is>
      </c>
    </row>
    <row r="39">
      <c r="A39" t="inlineStr">
        <is>
          <t>• Concealers growing 22.8% - trending category</t>
        </is>
      </c>
    </row>
    <row r="40">
      <c r="A40" t="inlineStr">
        <is>
          <t>• Traditional categories (Foundations, Blushes) declining - market shift</t>
        </is>
      </c>
    </row>
    <row r="41">
      <c r="A41" t="inlineStr">
        <is>
          <t>• Portfolio spread across 34 categories - consider SKU rationalization</t>
        </is>
      </c>
    </row>
  </sheetData>
  <mergeCells count="1"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45" customWidth="1" min="3" max="3"/>
    <col width="15" customWidth="1" min="4" max="4"/>
  </cols>
  <sheetData>
    <row r="1">
      <c r="A1" s="1" t="inlineStr">
        <is>
          <t>Strategic Recommendations &amp; Action Plan</t>
        </is>
      </c>
    </row>
    <row r="3">
      <c r="A3" s="2" t="inlineStr">
        <is>
          <t>Executive Summary</t>
        </is>
      </c>
    </row>
    <row r="4">
      <c r="A4" t="inlineStr">
        <is>
          <t>• Business Performance: -3.2% YoY decline ($-670K revenue loss)</t>
        </is>
      </c>
    </row>
    <row r="5">
      <c r="A5" t="inlineStr">
        <is>
          <t>• Portfolio Risk: 69.3% of SKUs discontinued/at-risk, representing $6,322K in sales</t>
        </is>
      </c>
    </row>
    <row r="6">
      <c r="A6" t="inlineStr">
        <is>
          <t>• Concentration Risk: Top 20 SKUs drive 36.7% of total sales</t>
        </is>
      </c>
    </row>
    <row r="7">
      <c r="A7" t="inlineStr">
        <is>
          <t>• Growth Opportunities: Strong performance in new launches and trending categories (Lipsticks +26.9%, Concealers +22.8%)</t>
        </is>
      </c>
    </row>
    <row r="8">
      <c r="A8" t="inlineStr">
        <is>
          <t>• Immediate Action Required: Replace declining discontinued SKUs with growth SKUs</t>
        </is>
      </c>
    </row>
    <row r="11">
      <c r="A11" s="2" t="inlineStr">
        <is>
          <t>Prioritized Strategic Recommendations</t>
        </is>
      </c>
    </row>
    <row r="13">
      <c r="A13" s="24" t="inlineStr">
        <is>
          <t>Priority</t>
        </is>
      </c>
      <c r="B13" s="24" t="inlineStr">
        <is>
          <t>Recommendation</t>
        </is>
      </c>
      <c r="C13" s="24" t="inlineStr">
        <is>
          <t>Expected Impact</t>
        </is>
      </c>
      <c r="D13" s="24" t="inlineStr">
        <is>
          <t>Timeline</t>
        </is>
      </c>
    </row>
    <row r="14" ht="50" customHeight="1">
      <c r="A14" s="25" t="inlineStr">
        <is>
          <t>HIGH</t>
        </is>
      </c>
      <c r="B14" s="26" t="inlineStr">
        <is>
          <t>PHASE OUT DISCONTINUED SKUs: Immediately discontinue 733 at-risk SKUs (status 6-9) representing 31% of sales. Focus retail space on active, growing products.</t>
        </is>
      </c>
      <c r="C14" s="26" t="inlineStr">
        <is>
          <t>Free up $6.3M in inventory, reduce complexity, improve margins by 15-20%</t>
        </is>
      </c>
      <c r="D14" s="26" t="inlineStr">
        <is>
          <t>Q1 2024</t>
        </is>
      </c>
    </row>
    <row r="15" ht="50" customHeight="1">
      <c r="A15" s="25" t="inlineStr">
        <is>
          <t>HIGH</t>
        </is>
      </c>
      <c r="B15" s="26" t="inlineStr">
        <is>
          <t>DOUBLE DOWN ON WINNERS: Increase inventory and promotional support for top growers (Setting Spray +112%, Eyeliners +72%, Concealers +43%)</t>
        </is>
      </c>
      <c r="C15" s="26" t="inlineStr">
        <is>
          <t>Potential $1.5-2M additional revenue if growth trends continue</t>
        </is>
      </c>
      <c r="D15" s="26" t="inlineStr">
        <is>
          <t>Immediate</t>
        </is>
      </c>
    </row>
    <row r="16" ht="50" customHeight="1">
      <c r="A16" s="25" t="inlineStr">
        <is>
          <t>HIGH</t>
        </is>
      </c>
      <c r="B16" s="26" t="inlineStr">
        <is>
          <t>DIVERSIFY CONCENTRATION RISK: Develop 10-15 new SKUs in trending categories to reduce reliance on top 20 SKUs (currently 37% of sales)</t>
        </is>
      </c>
      <c r="C16" s="26" t="inlineStr">
        <is>
          <t>Reduce vulnerability, capture $800K-1.2M in new segments</t>
        </is>
      </c>
      <c r="D16" s="26" t="inlineStr">
        <is>
          <t>Q2-Q3 2024</t>
        </is>
      </c>
    </row>
    <row r="17" ht="50" customHeight="1">
      <c r="A17" s="27" t="inlineStr">
        <is>
          <t>MEDIUM</t>
        </is>
      </c>
      <c r="B17" s="28" t="inlineStr">
        <is>
          <t>REVITALIZE CORE CATEGORIES: Re-launch Foundation and Blush lines with updated formulations. These categories declining but still represent $5M+ in sales.</t>
        </is>
      </c>
      <c r="C17" s="28" t="inlineStr">
        <is>
          <t>Recover $500K-800K in declining sales, maintain market presence</t>
        </is>
      </c>
      <c r="D17" s="28" t="inlineStr">
        <is>
          <t>Q3-Q4 2024</t>
        </is>
      </c>
    </row>
    <row r="18" ht="50" customHeight="1">
      <c r="A18" s="27" t="inlineStr">
        <is>
          <t>MEDIUM</t>
        </is>
      </c>
      <c r="B18" s="28" t="inlineStr">
        <is>
          <t>EXPAND LIPSTICK PORTFOLIO: Lipsticks growing 26.9% YoY. Launch 5-8 new shades/formulas to capitalize on trend.</t>
        </is>
      </c>
      <c r="C18" s="28" t="inlineStr">
        <is>
          <t>Incremental $400K-600K revenue opportunity</t>
        </is>
      </c>
      <c r="D18" s="28" t="inlineStr">
        <is>
          <t>Q2 2024</t>
        </is>
      </c>
    </row>
    <row r="19" ht="50" customHeight="1">
      <c r="A19" s="27" t="inlineStr">
        <is>
          <t>MEDIUM</t>
        </is>
      </c>
      <c r="B19" s="28" t="inlineStr">
        <is>
          <t>OPTIMIZE MASCARA MIX: Mascaras are #1 category but declining -6.5%. Analyze top performers (Mascara 1 +39%) vs decliners and rationalize portfolio.</t>
        </is>
      </c>
      <c r="C19" s="28" t="inlineStr">
        <is>
          <t>Improve mascara category growth to flat or +2-3%</t>
        </is>
      </c>
      <c r="D19" s="28" t="inlineStr">
        <is>
          <t>Q2 2024</t>
        </is>
      </c>
    </row>
    <row r="20" ht="50" customHeight="1">
      <c r="A20" s="29" t="inlineStr">
        <is>
          <t>LOW</t>
        </is>
      </c>
      <c r="B20" s="30" t="inlineStr">
        <is>
          <t>SKU RATIONALIZATION: Consolidate 34 categories to 20-25 most profitable. Eliminate low-volume, low-margin SKUs.</t>
        </is>
      </c>
      <c r="C20" s="30" t="inlineStr">
        <is>
          <t>Reduce operational complexity, improve supply chain efficiency</t>
        </is>
      </c>
      <c r="D20" s="30" t="inlineStr">
        <is>
          <t>Q3-Q4 2024</t>
        </is>
      </c>
    </row>
    <row r="21" ht="50" customHeight="1">
      <c r="A21" s="29" t="inlineStr">
        <is>
          <t>LOW</t>
        </is>
      </c>
      <c r="B21" s="30" t="inlineStr">
        <is>
          <t>ENHANCE ANALYTICS: Implement monthly performance dashboards, predictive forecasting, and automated alerts for declining SKUs.</t>
        </is>
      </c>
      <c r="C21" s="30" t="inlineStr">
        <is>
          <t>Faster decision-making, proactive issue identification</t>
        </is>
      </c>
      <c r="D21" s="30" t="inlineStr">
        <is>
          <t>Q2 2024</t>
        </is>
      </c>
    </row>
    <row r="24">
      <c r="A24" s="2" t="inlineStr">
        <is>
          <t>Key Performance Metrics to Monitor</t>
        </is>
      </c>
    </row>
    <row r="26">
      <c r="A26" t="inlineStr">
        <is>
          <t>1. Monthly YoY Sales Growth % (Target: Return to +5% within 12 months)</t>
        </is>
      </c>
    </row>
    <row r="27">
      <c r="A27" t="inlineStr">
        <is>
          <t>2. Active SKU % of Portfolio (Target: Increase from 31% to 80%+)</t>
        </is>
      </c>
    </row>
    <row r="28">
      <c r="A28" t="inlineStr">
        <is>
          <t>3. Top 20 SKU Concentration (Target: Reduce from 37% to &lt;30%)</t>
        </is>
      </c>
    </row>
    <row r="29">
      <c r="A29" t="inlineStr">
        <is>
          <t>4. New Product Launch Success Rate (Target: 70%+ achieving forecast)</t>
        </is>
      </c>
    </row>
    <row r="30">
      <c r="A30" t="inlineStr">
        <is>
          <t>5. Inventory Turnover Ratio (Target: Improve by 20-25%)</t>
        </is>
      </c>
    </row>
    <row r="31">
      <c r="A31" t="inlineStr">
        <is>
          <t>6. Category Growth Rates (Target: All top 5 categories positive growth)</t>
        </is>
      </c>
    </row>
    <row r="34">
      <c r="A34" s="2" t="inlineStr">
        <is>
          <t>Immediate Next Steps (Next 30 Days)</t>
        </is>
      </c>
    </row>
    <row r="36">
      <c r="A36" t="inlineStr">
        <is>
          <t>✓ Present findings to executive leadership and secure buy-in</t>
        </is>
      </c>
    </row>
    <row r="37">
      <c r="A37" t="inlineStr">
        <is>
          <t>✓ Form cross-functional task force (Sales, Marketing, Supply Chain, Finance)</t>
        </is>
      </c>
    </row>
    <row r="38">
      <c r="A38" t="inlineStr">
        <is>
          <t>✓ Create detailed SKU phase-out plan with specific dates and replacement products</t>
        </is>
      </c>
    </row>
    <row r="39">
      <c r="A39" t="inlineStr">
        <is>
          <t>✓ Negotiate increased shelf space for top-performing growth SKUs</t>
        </is>
      </c>
    </row>
    <row r="40">
      <c r="A40" t="inlineStr">
        <is>
          <t>✓ Initiate new product development for lipstick expansion</t>
        </is>
      </c>
    </row>
    <row r="41">
      <c r="A41" t="inlineStr">
        <is>
          <t>✓ Set up monthly performance review meetings with dashboard reviews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2025-11-09T04:06:38Z</dcterms:created>
  <dcterms:modified xsi:type="dcterms:W3CDTF">2025-11-09T04:09:22Z</dcterms:modified>
</cp:coreProperties>
</file>